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Instrucciones" sheetId="1" r:id="rId5"/>
    <sheet state="visible" name="🧮 Calculadora" sheetId="2" r:id="rId6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El coste de licencias o software debería ser el mismo; independientemente que sea con GTC o nómina.</t>
      </text>
    </comment>
  </commentList>
</comments>
</file>

<file path=xl/sharedStrings.xml><?xml version="1.0" encoding="utf-8"?>
<sst xmlns="http://schemas.openxmlformats.org/spreadsheetml/2006/main" count="84" uniqueCount="81">
  <si>
    <t>📖  Guía de Uso — Calculadora de Ahorro GTC</t>
  </si>
  <si>
    <t>Global Talent Connections · www.globaltalent-connections.com</t>
  </si>
  <si>
    <t xml:space="preserve">  🟦  CÓMO USAR ESTA CALCULADORA</t>
  </si>
  <si>
    <t xml:space="preserve">  Paso 1 — Ir a la hoja '🧮 Calculadora'</t>
  </si>
  <si>
    <t xml:space="preserve">  Introduce el número de trabajadores que quieres comparar en la celda C10.</t>
  </si>
  <si>
    <t xml:space="preserve">  Paso 2 — Rellenar los costes de España (columna C, celdas azules)</t>
  </si>
  <si>
    <t xml:space="preserve">  Introduce el salario bruto anual y otros costes de tu equipo actual. Los valores preestablecidos son medias del mercado español 2024-2025.</t>
  </si>
  <si>
    <t xml:space="preserve">  Paso 3 — Ajustar los costes GTC (columna F, celdas azules)</t>
  </si>
  <si>
    <t xml:space="preserve">  Los valores de GTC ya están pre-rellenados con datos reales orientativos. Puedes ajustarlos si tienes una propuesta personalizada.</t>
  </si>
  <si>
    <t xml:space="preserve">  Paso 4 — Ver tu ahorro</t>
  </si>
  <si>
    <t xml:space="preserve">  El resumen ejecutivo al final de la hoja calcula automáticamente el ahorro total, el % de reducción de costes y el ahorro mensual.</t>
  </si>
  <si>
    <t xml:space="preserve">  Paso 5 — Consultar el gráfico</t>
  </si>
  <si>
    <t>📈 A la derecha puedes encontrar una gráfica para ver la comparativa visual actualizada con tus datos.</t>
  </si>
  <si>
    <t xml:space="preserve">  💡  NOTAS IMPORTANTES</t>
  </si>
  <si>
    <t xml:space="preserve">  Los costes de Seguridad Social en España (~33%) y en LATAM (~5%) son aproximados y pueden variar según país y modalidad contractual.</t>
  </si>
  <si>
    <t xml:space="preserve">  El coste de oficina para GTC es 0€ porque el modelo es 100% remoto — el talento trabaja desde su país de origen.</t>
  </si>
  <si>
    <t xml:space="preserve">  Los salarios LATAM están indicados en euros para facilitar la comparación directa. Los pagos se realizan en divisa local.</t>
  </si>
  <si>
    <t xml:space="preserve">  Esta calculadora es orientativa. GTC puede ofrecerte una propuesta personalizada y exacta para tu empresa.</t>
  </si>
  <si>
    <t xml:space="preserve">  📞  ¿TIENES DUDAS?</t>
  </si>
  <si>
    <t xml:space="preserve">  🌐  www.globaltalent-connections.com</t>
  </si>
  <si>
    <t xml:space="preserve">  📧 info@globaltalent-connections.com</t>
  </si>
  <si>
    <t xml:space="preserve">  📍  Alicante, España</t>
  </si>
  <si>
    <t xml:space="preserve">💼  Calculadora de Ahorro 
Global Talent Connections </t>
  </si>
  <si>
    <t>📈  Comparativa Visual de Costes — Calculadora GTC</t>
  </si>
  <si>
    <t>Compara el coste real de tu equipo actual vs. contratar con nosotros en Global Talent Connections</t>
  </si>
  <si>
    <t>Los datos se actualizan automáticamente desde la hoja Calculadora</t>
  </si>
  <si>
    <t>📝  Introduce tus datos en las celdas azules  ·  Los resultados se calculan automáticamente</t>
  </si>
  <si>
    <t xml:space="preserve">  SECCIÓN 1 — DATOS DE TU EMPRESA</t>
  </si>
  <si>
    <t>Concepto</t>
  </si>
  <si>
    <t>España (€)</t>
  </si>
  <si>
    <t>GTC LATAM (€)</t>
  </si>
  <si>
    <t>Ahorro (€)</t>
  </si>
  <si>
    <t>Nombre de tu empresa (opcional)</t>
  </si>
  <si>
    <t>STYLO</t>
  </si>
  <si>
    <t>Coste por trabajador</t>
  </si>
  <si>
    <t>Sector / Industria</t>
  </si>
  <si>
    <t>Ejemplo: marketing</t>
  </si>
  <si>
    <t>Solicitar un Asistente</t>
  </si>
  <si>
    <t>Coste total equipo</t>
  </si>
  <si>
    <t>Salario mensual</t>
  </si>
  <si>
    <t>Ahorro anual</t>
  </si>
  <si>
    <t>Número de trabajadores a comparar</t>
  </si>
  <si>
    <t>nº de personas de tu equipo actual</t>
  </si>
  <si>
    <t>Seniority</t>
  </si>
  <si>
    <t>Senior</t>
  </si>
  <si>
    <t>🇪🇸  TRABAJADOR EN ESPAÑA</t>
  </si>
  <si>
    <t>🌎  TALENTO GTC (LATAM)</t>
  </si>
  <si>
    <t>Coste / Trabajador (€)</t>
  </si>
  <si>
    <t>Coste Total Equipo (€)</t>
  </si>
  <si>
    <t xml:space="preserve">  Salario bruto anual (12 pagas)</t>
  </si>
  <si>
    <t xml:space="preserve">  Seguridad Social empresa (~33%)</t>
  </si>
  <si>
    <t xml:space="preserve">  Bonus / variable anual</t>
  </si>
  <si>
    <t xml:space="preserve">  Equipamiento (laptop, móvil, etc.)</t>
  </si>
  <si>
    <t xml:space="preserve">  Espacio oficina / puesto de trabajo</t>
  </si>
  <si>
    <t xml:space="preserve">  Formación y desarrollo</t>
  </si>
  <si>
    <t xml:space="preserve">  Software / licencias por empleado</t>
  </si>
  <si>
    <t xml:space="preserve">  Gestión HR / reclutamiento (amortizado)</t>
  </si>
  <si>
    <t xml:space="preserve">  Costes de desvinculación / rotación</t>
  </si>
  <si>
    <t xml:space="preserve">  Otros costes (transporte, dietas, etc.)</t>
  </si>
  <si>
    <t xml:space="preserve">  COSTE TOTAL ANUAL POR EMPLEADO / EQUIPO</t>
  </si>
  <si>
    <t xml:space="preserve">  📊  RESUMEN EJECUTIVO — ¿CUÁNTO PUEDES AHORRAR?</t>
  </si>
  <si>
    <t xml:space="preserve">  Coste total anual equipo en España</t>
  </si>
  <si>
    <t>ℹ  Coste con trabajadores locales en España</t>
  </si>
  <si>
    <t xml:space="preserve">  Coste total anual equipo con GTC (LATAM)</t>
  </si>
  <si>
    <t>ℹ  Profesionales de LATAM vía GTC</t>
  </si>
  <si>
    <t xml:space="preserve">  💰  Ahorro total anual</t>
  </si>
  <si>
    <t>ℹ  Ahorro directo en tu cuenta bancaria</t>
  </si>
  <si>
    <t xml:space="preserve">  🏆  TU RESUMEN DE AHORRO</t>
  </si>
  <si>
    <t xml:space="preserve">  📉  Porcentaje de ahorro</t>
  </si>
  <si>
    <t>ℹ  Porcentaje de tu presupuesto que recuperas</t>
  </si>
  <si>
    <t>AHORRO MENSUAL</t>
  </si>
  <si>
    <t>% DE AHORRO</t>
  </si>
  <si>
    <t>AHORRO TOTAL ANUAL</t>
  </si>
  <si>
    <t xml:space="preserve">  📅  Ahorro mensual estimado</t>
  </si>
  <si>
    <t>ℹ  Liquidez mensual adicional para tu empresa</t>
  </si>
  <si>
    <t xml:space="preserve">  🔄  Periodo de retorno de la inversión</t>
  </si>
  <si>
    <t>ℹ  El ahorro comienza desde la primera nómina</t>
  </si>
  <si>
    <t xml:space="preserve">  Resultados en base a los datos introducidos en la hoja 🧮 Calculadora  ·  globaltalent-connections.com</t>
  </si>
  <si>
    <t xml:space="preserve">  🎯  CONCLUSIÓN PERSONALIZADA</t>
  </si>
  <si>
    <t xml:space="preserve">  ¿Listo para dar el siguiente paso? Escríbenos y revisemos juntos los perfiles que tu empresa necesita.</t>
  </si>
  <si>
    <t xml:space="preserve">  🌐www.globaltalent-connections.com/    |    📧  info@globaltalent-connections.com    |    💬  WhatsApp: +34 689 53 98 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</si>
</sst>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 €&quot;"/>
    <numFmt numFmtId="165" formatCode="[$€]#,##0.00"/>
    <numFmt numFmtId="166" formatCode="0.0%"/>
  </numFmts>
  <fonts count="35">
    <font>
      <sz val="11.0"/>
      <color theme="1"/>
      <name val="Calibri"/>
      <scheme val="minor"/>
    </font>
    <font>
      <b/>
      <sz val="20.0"/>
      <color rgb="FFFFFFFF"/>
      <name val="Arial"/>
    </font>
    <font>
      <i/>
      <sz val="10.0"/>
      <color rgb="FF29ABE2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071E3D"/>
      <name val="Arial"/>
    </font>
    <font>
      <sz val="10.0"/>
      <color rgb="FF374151"/>
      <name val="Arial"/>
    </font>
    <font>
      <i/>
      <sz val="10.0"/>
      <color rgb="FF78350F"/>
      <name val="Arial"/>
    </font>
    <font>
      <b/>
      <sz val="11.0"/>
      <color rgb="FF29ABE2"/>
      <name val="Arial"/>
    </font>
    <font/>
    <font>
      <b/>
      <sz val="18.0"/>
      <color rgb="FFFFFFFF"/>
      <name val="Arial"/>
    </font>
    <font>
      <i/>
      <sz val="11.0"/>
      <color rgb="FF29ABE2"/>
      <name val="Arial"/>
    </font>
    <font>
      <sz val="9.0"/>
      <color rgb="FF94A3B8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sz val="10.0"/>
      <color rgb="FFFFFFFF"/>
      <name val="Arial"/>
    </font>
    <font>
      <b/>
      <sz val="10.0"/>
      <color rgb="FF10B981"/>
      <name val="Arial"/>
    </font>
    <font>
      <b/>
      <u/>
      <sz val="15.0"/>
      <color rgb="FFFFFFFF"/>
      <name val="Calibri"/>
    </font>
    <font>
      <i/>
      <sz val="9.0"/>
      <color rgb="FF94A3B8"/>
      <name val="Arial"/>
    </font>
    <font>
      <b/>
      <sz val="9.0"/>
      <color rgb="FFFFFFFF"/>
      <name val="Arial"/>
    </font>
    <font>
      <b/>
      <sz val="12.0"/>
      <color rgb="FFFFFFFF"/>
      <name val="Arial"/>
    </font>
    <font>
      <b/>
      <sz val="14.0"/>
      <color rgb="FFEF4444"/>
      <name val="Arial"/>
    </font>
    <font>
      <i/>
      <sz val="9.0"/>
      <color rgb="FF374151"/>
      <name val="Arial"/>
    </font>
    <font>
      <b/>
      <sz val="14.0"/>
      <color rgb="FF10B981"/>
      <name val="Arial"/>
    </font>
    <font>
      <b/>
      <sz val="14.0"/>
      <color rgb="FFF5A623"/>
      <name val="Arial"/>
    </font>
    <font>
      <b/>
      <sz val="14.0"/>
      <color rgb="FF071E3D"/>
      <name val="Arial"/>
    </font>
    <font>
      <b/>
      <sz val="8.0"/>
      <color rgb="FF94A3B8"/>
      <name val="Arial"/>
    </font>
    <font>
      <b/>
      <sz val="22.0"/>
      <color rgb="FF29ABE2"/>
      <name val="Arial"/>
    </font>
    <font>
      <b/>
      <sz val="22.0"/>
      <color rgb="FF10B981"/>
      <name val="Arial"/>
    </font>
    <font>
      <b/>
      <sz val="14.0"/>
      <color rgb="FF29ABE2"/>
      <name val="Arial"/>
    </font>
    <font>
      <sz val="15.0"/>
      <color rgb="FF000000"/>
      <name val="Arial"/>
    </font>
    <font>
      <sz val="10.0"/>
      <color rgb="FF071E3D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71E3D"/>
        <bgColor rgb="FF071E3D"/>
      </patternFill>
    </fill>
    <fill>
      <patternFill patternType="solid">
        <fgColor rgb="FF0A2D52"/>
        <bgColor rgb="FF0A2D52"/>
      </patternFill>
    </fill>
    <fill>
      <patternFill patternType="solid">
        <fgColor rgb="FFE8F6FD"/>
        <bgColor rgb="FFE8F6FD"/>
      </patternFill>
    </fill>
    <fill>
      <patternFill patternType="solid">
        <fgColor rgb="FFFFFFFF"/>
        <bgColor rgb="FFFFFFFF"/>
      </patternFill>
    </fill>
    <fill>
      <patternFill patternType="solid">
        <fgColor rgb="FFFFF8E7"/>
        <bgColor rgb="FFFFF8E7"/>
      </patternFill>
    </fill>
    <fill>
      <patternFill patternType="solid">
        <fgColor rgb="FFF1F5F9"/>
        <bgColor rgb="FFF1F5F9"/>
      </patternFill>
    </fill>
    <fill>
      <patternFill patternType="solid">
        <fgColor rgb="FFEBF8FF"/>
        <bgColor rgb="FFEBF8FF"/>
      </patternFill>
    </fill>
    <fill>
      <patternFill patternType="solid">
        <fgColor rgb="FFFEF2F2"/>
        <bgColor rgb="FFFEF2F2"/>
      </patternFill>
    </fill>
    <fill>
      <patternFill patternType="solid">
        <fgColor rgb="FF1C4587"/>
        <bgColor rgb="FF1C4587"/>
      </patternFill>
    </fill>
    <fill>
      <patternFill patternType="solid">
        <fgColor rgb="FFECFDF5"/>
        <bgColor rgb="FFECFDF5"/>
      </patternFill>
    </fill>
    <fill>
      <patternFill patternType="solid">
        <fgColor rgb="FF29ABE2"/>
        <bgColor rgb="FF29ABE2"/>
      </patternFill>
    </fill>
    <fill>
      <patternFill patternType="solid">
        <fgColor rgb="FFF5A623"/>
        <bgColor rgb="FFF5A623"/>
      </patternFill>
    </fill>
  </fills>
  <borders count="6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000000"/>
      </right>
      <top style="thin">
        <color rgb="FFD1D5DB"/>
      </top>
      <bottom style="thin">
        <color rgb="FFD1D5DB"/>
      </bottom>
    </border>
    <border>
      <left style="medium">
        <color rgb="FF29ABE2"/>
      </left>
      <right style="medium">
        <color rgb="FF29ABE2"/>
      </right>
      <top style="medium">
        <color rgb="FF29ABE2"/>
      </top>
      <bottom style="medium">
        <color rgb="FF29ABE2"/>
      </bottom>
    </border>
    <border>
      <left style="medium">
        <color rgb="FF10B981"/>
      </left>
      <right style="thin">
        <color rgb="FF000000"/>
      </right>
      <top style="medium">
        <color rgb="FF10B981"/>
      </top>
      <bottom style="medium">
        <color rgb="FF10B98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10B981"/>
      </left>
      <top style="medium">
        <color rgb="FF10B981"/>
      </top>
      <bottom style="medium">
        <color rgb="FF10B981"/>
      </bottom>
    </border>
    <border>
      <top style="medium">
        <color rgb="FF10B981"/>
      </top>
      <bottom style="medium">
        <color rgb="FF10B981"/>
      </bottom>
    </border>
    <border>
      <right style="thin">
        <color rgb="FF000000"/>
      </right>
      <top style="medium">
        <color rgb="FF10B981"/>
      </top>
      <bottom style="medium">
        <color rgb="FF10B981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  <border>
      <right style="thin">
        <color rgb="FF000000"/>
      </right>
      <top style="thin">
        <color rgb="FFD1D5DB"/>
      </top>
      <bottom style="thin">
        <color rgb="FFD1D5DB"/>
      </bottom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</border>
    <border>
      <left style="medium">
        <color rgb="FF555555"/>
      </left>
      <right style="thin">
        <color rgb="FF000000"/>
      </right>
      <top style="medium">
        <color rgb="FF555555"/>
      </top>
      <bottom style="medium">
        <color rgb="FF555555"/>
      </bottom>
    </border>
    <border>
      <left style="medium">
        <color rgb="FFEF4444"/>
      </left>
      <right style="medium">
        <color rgb="FFEF4444"/>
      </right>
      <top style="medium">
        <color rgb="FFEF4444"/>
      </top>
      <bottom style="medium">
        <color rgb="FFEF4444"/>
      </bottom>
    </border>
    <border>
      <left style="medium">
        <color rgb="FFEF4444"/>
      </left>
      <top style="medium">
        <color rgb="FFEF4444"/>
      </top>
      <bottom style="medium">
        <color rgb="FFEF4444"/>
      </bottom>
    </border>
    <border>
      <right style="thin">
        <color rgb="FF000000"/>
      </right>
      <top style="medium">
        <color rgb="FFEF4444"/>
      </top>
      <bottom style="medium">
        <color rgb="FFEF4444"/>
      </bottom>
    </border>
    <border>
      <left style="medium">
        <color rgb="FFF5A623"/>
      </left>
      <right style="medium">
        <color rgb="FFF5A623"/>
      </right>
      <top style="medium">
        <color rgb="FFF5A623"/>
      </top>
      <bottom style="medium">
        <color rgb="FFF5A623"/>
      </bottom>
    </border>
    <border>
      <left style="medium">
        <color rgb="FFF5A623"/>
      </left>
      <top style="medium">
        <color rgb="FFF5A623"/>
      </top>
      <bottom style="medium">
        <color rgb="FFF5A623"/>
      </bottom>
    </border>
    <border>
      <right style="thin">
        <color rgb="FF000000"/>
      </right>
      <top style="medium">
        <color rgb="FFF5A623"/>
      </top>
      <bottom style="medium">
        <color rgb="FFF5A623"/>
      </bottom>
    </border>
    <border>
      <left style="medium">
        <color rgb="FF071E3D"/>
      </left>
      <right style="medium">
        <color rgb="FF071E3D"/>
      </right>
      <top style="medium">
        <color rgb="FF071E3D"/>
      </top>
      <bottom style="medium">
        <color rgb="FF071E3D"/>
      </bottom>
    </border>
    <border>
      <left style="medium">
        <color rgb="FF071E3D"/>
      </left>
      <top style="medium">
        <color rgb="FF071E3D"/>
      </top>
      <bottom style="medium">
        <color rgb="FF071E3D"/>
      </bottom>
    </border>
    <border>
      <right style="thin">
        <color rgb="FF000000"/>
      </right>
      <top style="medium">
        <color rgb="FF071E3D"/>
      </top>
      <bottom style="medium">
        <color rgb="FF071E3D"/>
      </bottom>
    </border>
    <border>
      <left style="thin">
        <color rgb="FF000000"/>
      </left>
      <right style="medium">
        <color rgb="FFD1D5DB"/>
      </right>
      <bottom style="medium">
        <color rgb="FFD1D5DB"/>
      </bottom>
    </border>
    <border>
      <left style="medium">
        <color rgb="FFD1D5DB"/>
      </left>
      <bottom style="medium">
        <color rgb="FFD1D5DB"/>
      </bottom>
    </border>
    <border>
      <right style="medium">
        <color rgb="FFD1D5DB"/>
      </right>
      <bottom style="medium">
        <color rgb="FFD1D5DB"/>
      </bottom>
    </border>
    <border>
      <left style="medium">
        <color rgb="FFD1D5DB"/>
      </left>
      <right style="thin">
        <color rgb="FF000000"/>
      </right>
      <bottom style="medium">
        <color rgb="FFD1D5DB"/>
      </bottom>
    </border>
    <border>
      <left style="thin">
        <color rgb="FF000000"/>
      </left>
      <right style="medium">
        <color rgb="FF29ABE2"/>
      </right>
      <top style="medium">
        <color rgb="FF29ABE2"/>
      </top>
      <bottom style="medium">
        <color rgb="FF29ABE2"/>
      </bottom>
    </border>
    <border>
      <right style="medium">
        <color rgb="FF10B981"/>
      </right>
      <top style="medium">
        <color rgb="FF10B981"/>
      </top>
      <bottom style="medium">
        <color rgb="FF10B981"/>
      </bottom>
    </border>
    <border>
      <left style="medium">
        <color rgb="FF29ABE2"/>
      </left>
      <top style="medium">
        <color rgb="FF29ABE2"/>
      </top>
      <bottom style="medium">
        <color rgb="FF29ABE2"/>
      </bottom>
    </border>
    <border>
      <right style="thin">
        <color rgb="FF000000"/>
      </right>
      <top style="medium">
        <color rgb="FF29ABE2"/>
      </top>
      <bottom style="medium">
        <color rgb="FF29ABE2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29ABE2"/>
      </left>
      <top style="medium">
        <color rgb="FF29ABE2"/>
      </top>
    </border>
    <border>
      <top style="medium">
        <color rgb="FF29ABE2"/>
      </top>
    </border>
    <border>
      <right style="thin">
        <color rgb="FF000000"/>
      </right>
      <top style="medium">
        <color rgb="FF29ABE2"/>
      </top>
    </border>
    <border>
      <left style="medium">
        <color rgb="FF29ABE2"/>
      </left>
    </border>
    <border>
      <left style="medium">
        <color rgb="FF29ABE2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0" fillId="0" fontId="3" numFmtId="0" xfId="0" applyFont="1"/>
    <xf borderId="2" fillId="2" fontId="3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5" fillId="0" fontId="9" numFmtId="0" xfId="0" applyBorder="1" applyFont="1"/>
    <xf borderId="6" fillId="0" fontId="3" numFmtId="0" xfId="0" applyBorder="1" applyFont="1"/>
    <xf borderId="7" fillId="2" fontId="10" numFmtId="0" xfId="0" applyAlignment="1" applyBorder="1" applyFont="1">
      <alignment horizontal="center" vertical="center"/>
    </xf>
    <xf borderId="8" fillId="2" fontId="3" numFmtId="0" xfId="0" applyBorder="1" applyFont="1"/>
    <xf borderId="9" fillId="2" fontId="11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12" fillId="3" fontId="2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13" numFmtId="0" xfId="0" applyBorder="1" applyFont="1"/>
    <xf borderId="14" fillId="0" fontId="13" numFmtId="0" xfId="0" applyBorder="1" applyFont="1"/>
    <xf borderId="9" fillId="3" fontId="14" numFmtId="0" xfId="0" applyAlignment="1" applyBorder="1" applyFont="1">
      <alignment horizontal="left" vertical="center"/>
    </xf>
    <xf borderId="15" fillId="2" fontId="14" numFmtId="0" xfId="0" applyAlignment="1" applyBorder="1" applyFont="1">
      <alignment horizontal="center" vertical="center"/>
    </xf>
    <xf borderId="16" fillId="2" fontId="14" numFmtId="0" xfId="0" applyAlignment="1" applyBorder="1" applyFont="1">
      <alignment horizontal="center" vertical="center"/>
    </xf>
    <xf borderId="17" fillId="2" fontId="14" numFmtId="0" xfId="0" applyAlignment="1" applyBorder="1" applyFont="1">
      <alignment horizontal="center" vertical="center"/>
    </xf>
    <xf borderId="16" fillId="7" fontId="15" numFmtId="0" xfId="0" applyAlignment="1" applyBorder="1" applyFill="1" applyFont="1">
      <alignment horizontal="left" vertical="center"/>
    </xf>
    <xf borderId="18" fillId="8" fontId="16" numFmtId="0" xfId="0" applyAlignment="1" applyBorder="1" applyFill="1" applyFont="1">
      <alignment horizontal="center" readingOrder="0" vertical="center"/>
    </xf>
    <xf borderId="15" fillId="7" fontId="17" numFmtId="0" xfId="0" applyAlignment="1" applyBorder="1" applyFont="1">
      <alignment horizontal="left" vertical="center"/>
    </xf>
    <xf borderId="16" fillId="9" fontId="15" numFmtId="164" xfId="0" applyAlignment="1" applyBorder="1" applyFill="1" applyFont="1" applyNumberFormat="1">
      <alignment horizontal="right" vertical="center"/>
    </xf>
    <xf borderId="16" fillId="10" fontId="18" numFmtId="164" xfId="0" applyAlignment="1" applyBorder="1" applyFill="1" applyFont="1" applyNumberFormat="1">
      <alignment horizontal="right" vertical="center"/>
    </xf>
    <xf borderId="19" fillId="11" fontId="19" numFmtId="165" xfId="0" applyAlignment="1" applyBorder="1" applyFill="1" applyFont="1" applyNumberFormat="1">
      <alignment horizontal="right" vertical="center"/>
    </xf>
    <xf borderId="18" fillId="8" fontId="16" numFmtId="0" xfId="0" applyAlignment="1" applyBorder="1" applyFont="1">
      <alignment horizontal="center" vertical="center"/>
    </xf>
    <xf borderId="20" fillId="2" fontId="20" numFmtId="0" xfId="0" applyAlignment="1" applyBorder="1" applyFont="1">
      <alignment horizontal="center" readingOrder="0" vertical="center"/>
    </xf>
    <xf borderId="21" fillId="0" fontId="9" numFmtId="0" xfId="0" applyBorder="1" applyFont="1"/>
    <xf borderId="22" fillId="11" fontId="19" numFmtId="165" xfId="0" applyAlignment="1" applyBorder="1" applyFont="1" applyNumberFormat="1">
      <alignment horizontal="right" vertical="center"/>
    </xf>
    <xf borderId="23" fillId="0" fontId="9" numFmtId="0" xfId="0" applyBorder="1" applyFont="1"/>
    <xf borderId="24" fillId="0" fontId="9" numFmtId="0" xfId="0" applyBorder="1" applyFont="1"/>
    <xf borderId="0" fillId="0" fontId="21" numFmtId="0" xfId="0" applyAlignment="1" applyFont="1">
      <alignment horizontal="left" vertical="center"/>
    </xf>
    <xf borderId="16" fillId="7" fontId="15" numFmtId="0" xfId="0" applyAlignment="1" applyBorder="1" applyFont="1">
      <alignment horizontal="left" readingOrder="0" vertical="center"/>
    </xf>
    <xf borderId="25" fillId="2" fontId="4" numFmtId="0" xfId="0" applyAlignment="1" applyBorder="1" applyFont="1">
      <alignment horizontal="center" vertical="center"/>
    </xf>
    <xf borderId="26" fillId="0" fontId="9" numFmtId="0" xfId="0" applyBorder="1" applyFont="1"/>
    <xf borderId="27" fillId="0" fontId="9" numFmtId="0" xfId="0" applyBorder="1" applyFont="1"/>
    <xf borderId="25" fillId="12" fontId="4" numFmtId="0" xfId="0" applyAlignment="1" applyBorder="1" applyFill="1" applyFont="1">
      <alignment horizontal="center" vertical="center"/>
    </xf>
    <xf borderId="28" fillId="0" fontId="9" numFmtId="0" xfId="0" applyBorder="1" applyFont="1"/>
    <xf borderId="16" fillId="3" fontId="22" numFmtId="0" xfId="0" applyAlignment="1" applyBorder="1" applyFont="1">
      <alignment horizontal="center" shrinkToFit="0" vertical="center" wrapText="1"/>
    </xf>
    <xf borderId="1" fillId="5" fontId="3" numFmtId="0" xfId="0" applyBorder="1" applyFont="1"/>
    <xf borderId="16" fillId="12" fontId="22" numFmtId="0" xfId="0" applyAlignment="1" applyBorder="1" applyFont="1">
      <alignment horizontal="center" shrinkToFit="0" vertical="center" wrapText="1"/>
    </xf>
    <xf borderId="17" fillId="12" fontId="22" numFmtId="0" xfId="0" applyAlignment="1" applyBorder="1" applyFont="1">
      <alignment horizontal="center" shrinkToFit="0" vertical="center" wrapText="1"/>
    </xf>
    <xf borderId="18" fillId="8" fontId="16" numFmtId="164" xfId="0" applyAlignment="1" applyBorder="1" applyFont="1" applyNumberFormat="1">
      <alignment horizontal="right" vertical="center"/>
    </xf>
    <xf borderId="16" fillId="7" fontId="15" numFmtId="164" xfId="0" applyAlignment="1" applyBorder="1" applyFont="1" applyNumberFormat="1">
      <alignment horizontal="right" vertical="center"/>
    </xf>
    <xf borderId="29" fillId="11" fontId="16" numFmtId="164" xfId="0" applyAlignment="1" applyBorder="1" applyFont="1" applyNumberFormat="1">
      <alignment horizontal="right" vertical="center"/>
    </xf>
    <xf borderId="17" fillId="7" fontId="15" numFmtId="164" xfId="0" applyAlignment="1" applyBorder="1" applyFont="1" applyNumberFormat="1">
      <alignment horizontal="right" vertical="center"/>
    </xf>
    <xf borderId="16" fillId="5" fontId="15" numFmtId="0" xfId="0" applyAlignment="1" applyBorder="1" applyFont="1">
      <alignment horizontal="left" vertical="center"/>
    </xf>
    <xf borderId="16" fillId="5" fontId="15" numFmtId="164" xfId="0" applyAlignment="1" applyBorder="1" applyFont="1" applyNumberFormat="1">
      <alignment horizontal="right" vertical="center"/>
    </xf>
    <xf borderId="17" fillId="5" fontId="15" numFmtId="164" xfId="0" applyAlignment="1" applyBorder="1" applyFont="1" applyNumberFormat="1">
      <alignment horizontal="right" vertical="center"/>
    </xf>
    <xf borderId="29" fillId="11" fontId="16" numFmtId="164" xfId="0" applyAlignment="1" applyBorder="1" applyFont="1" applyNumberFormat="1">
      <alignment horizontal="right" readingOrder="0" vertical="center"/>
    </xf>
    <xf borderId="30" fillId="2" fontId="4" numFmtId="0" xfId="0" applyAlignment="1" applyBorder="1" applyFont="1">
      <alignment horizontal="center" shrinkToFit="0" vertical="center" wrapText="1"/>
    </xf>
    <xf borderId="30" fillId="2" fontId="4" numFmtId="164" xfId="0" applyAlignment="1" applyBorder="1" applyFont="1" applyNumberFormat="1">
      <alignment horizontal="right" vertical="center"/>
    </xf>
    <xf borderId="30" fillId="12" fontId="4" numFmtId="164" xfId="0" applyAlignment="1" applyBorder="1" applyFont="1" applyNumberFormat="1">
      <alignment horizontal="right" vertical="center"/>
    </xf>
    <xf borderId="31" fillId="12" fontId="4" numFmtId="164" xfId="0" applyAlignment="1" applyBorder="1" applyFont="1" applyNumberFormat="1">
      <alignment horizontal="right" vertical="center"/>
    </xf>
    <xf borderId="9" fillId="2" fontId="23" numFmtId="0" xfId="0" applyAlignment="1" applyBorder="1" applyFont="1">
      <alignment horizontal="left" vertical="center"/>
    </xf>
    <xf borderId="32" fillId="9" fontId="17" numFmtId="0" xfId="0" applyAlignment="1" applyBorder="1" applyFont="1">
      <alignment horizontal="left" vertical="center"/>
    </xf>
    <xf borderId="33" fillId="9" fontId="24" numFmtId="164" xfId="0" applyAlignment="1" applyBorder="1" applyFont="1" applyNumberFormat="1">
      <alignment horizontal="center" vertical="center"/>
    </xf>
    <xf borderId="34" fillId="0" fontId="9" numFmtId="0" xfId="0" applyBorder="1" applyFont="1"/>
    <xf borderId="6" fillId="5" fontId="3" numFmtId="0" xfId="0" applyBorder="1" applyFont="1"/>
    <xf borderId="25" fillId="9" fontId="25" numFmtId="0" xfId="0" applyAlignment="1" applyBorder="1" applyFont="1">
      <alignment horizontal="left" shrinkToFit="0" vertical="center" wrapText="1"/>
    </xf>
    <xf borderId="29" fillId="11" fontId="17" numFmtId="0" xfId="0" applyAlignment="1" applyBorder="1" applyFont="1">
      <alignment horizontal="left" vertical="center"/>
    </xf>
    <xf borderId="22" fillId="11" fontId="26" numFmtId="164" xfId="0" applyAlignment="1" applyBorder="1" applyFont="1" applyNumberFormat="1">
      <alignment horizontal="center" vertical="center"/>
    </xf>
    <xf borderId="25" fillId="11" fontId="25" numFmtId="0" xfId="0" applyAlignment="1" applyBorder="1" applyFont="1">
      <alignment horizontal="left" shrinkToFit="0" vertical="center" wrapText="1"/>
    </xf>
    <xf borderId="35" fillId="6" fontId="17" numFmtId="0" xfId="0" applyAlignment="1" applyBorder="1" applyFont="1">
      <alignment horizontal="left" vertical="center"/>
    </xf>
    <xf borderId="36" fillId="6" fontId="27" numFmtId="164" xfId="0" applyAlignment="1" applyBorder="1" applyFont="1" applyNumberFormat="1">
      <alignment horizontal="center" vertical="center"/>
    </xf>
    <xf borderId="37" fillId="0" fontId="9" numFmtId="0" xfId="0" applyBorder="1" applyFont="1"/>
    <xf borderId="25" fillId="6" fontId="25" numFmtId="0" xfId="0" applyAlignment="1" applyBorder="1" applyFont="1">
      <alignment horizontal="left" shrinkToFit="0" vertical="center" wrapText="1"/>
    </xf>
    <xf borderId="12" fillId="2" fontId="23" numFmtId="0" xfId="0" applyAlignment="1" applyBorder="1" applyFont="1">
      <alignment horizontal="left" vertical="center"/>
    </xf>
    <xf borderId="38" fillId="4" fontId="17" numFmtId="0" xfId="0" applyAlignment="1" applyBorder="1" applyFont="1">
      <alignment horizontal="left" vertical="center"/>
    </xf>
    <xf borderId="39" fillId="4" fontId="28" numFmtId="166" xfId="0" applyAlignment="1" applyBorder="1" applyFont="1" applyNumberFormat="1">
      <alignment horizontal="center" vertical="center"/>
    </xf>
    <xf borderId="40" fillId="0" fontId="9" numFmtId="0" xfId="0" applyBorder="1" applyFont="1"/>
    <xf borderId="25" fillId="4" fontId="25" numFmtId="0" xfId="0" applyAlignment="1" applyBorder="1" applyFont="1">
      <alignment horizontal="left" shrinkToFit="0" vertical="center" wrapText="1"/>
    </xf>
    <xf borderId="41" fillId="4" fontId="29" numFmtId="0" xfId="0" applyAlignment="1" applyBorder="1" applyFont="1">
      <alignment horizontal="center" vertical="center"/>
    </xf>
    <xf borderId="42" fillId="11" fontId="29" numFmtId="0" xfId="0" applyAlignment="1" applyBorder="1" applyFont="1">
      <alignment horizontal="center" vertical="center"/>
    </xf>
    <xf borderId="43" fillId="0" fontId="9" numFmtId="0" xfId="0" applyBorder="1" applyFont="1"/>
    <xf borderId="44" fillId="11" fontId="29" numFmtId="0" xfId="0" applyAlignment="1" applyBorder="1" applyFont="1">
      <alignment horizontal="center" vertical="center"/>
    </xf>
    <xf borderId="45" fillId="4" fontId="30" numFmtId="164" xfId="0" applyAlignment="1" applyBorder="1" applyFont="1" applyNumberFormat="1">
      <alignment horizontal="center" vertical="center"/>
    </xf>
    <xf borderId="22" fillId="11" fontId="31" numFmtId="166" xfId="0" applyAlignment="1" applyBorder="1" applyFont="1" applyNumberFormat="1">
      <alignment horizontal="center" vertical="center"/>
    </xf>
    <xf borderId="46" fillId="0" fontId="9" numFmtId="0" xfId="0" applyBorder="1" applyFont="1"/>
    <xf borderId="19" fillId="11" fontId="31" numFmtId="165" xfId="0" applyAlignment="1" applyBorder="1" applyFont="1" applyNumberFormat="1">
      <alignment horizontal="center" vertical="center"/>
    </xf>
    <xf borderId="18" fillId="4" fontId="17" numFmtId="0" xfId="0" applyAlignment="1" applyBorder="1" applyFont="1">
      <alignment horizontal="left" vertical="center"/>
    </xf>
    <xf borderId="47" fillId="4" fontId="32" numFmtId="0" xfId="0" applyAlignment="1" applyBorder="1" applyFont="1">
      <alignment horizontal="center" vertical="center"/>
    </xf>
    <xf borderId="48" fillId="0" fontId="9" numFmtId="0" xfId="0" applyBorder="1" applyFont="1"/>
    <xf borderId="49" fillId="7" fontId="21" numFmtId="0" xfId="0" applyAlignment="1" applyBorder="1" applyFont="1">
      <alignment horizontal="center" vertical="center"/>
    </xf>
    <xf borderId="50" fillId="0" fontId="9" numFmtId="0" xfId="0" applyBorder="1" applyFont="1"/>
    <xf borderId="51" fillId="0" fontId="9" numFmtId="0" xfId="0" applyBorder="1" applyFont="1"/>
    <xf borderId="9" fillId="3" fontId="4" numFmtId="0" xfId="0" applyAlignment="1" applyBorder="1" applyFont="1">
      <alignment horizontal="left" vertical="center"/>
    </xf>
    <xf borderId="52" fillId="4" fontId="33" numFmtId="0" xfId="0" applyAlignment="1" applyBorder="1" applyFont="1">
      <alignment horizontal="left" shrinkToFit="0" vertical="center" wrapText="1"/>
    </xf>
    <xf borderId="53" fillId="0" fontId="9" numFmtId="0" xfId="0" applyBorder="1" applyFont="1"/>
    <xf borderId="54" fillId="0" fontId="9" numFmtId="0" xfId="0" applyBorder="1" applyFont="1"/>
    <xf borderId="55" fillId="0" fontId="9" numFmtId="0" xfId="0" applyBorder="1" applyFont="1"/>
    <xf borderId="14" fillId="0" fontId="9" numFmtId="0" xfId="0" applyBorder="1" applyFont="1"/>
    <xf borderId="56" fillId="0" fontId="9" numFmtId="0" xfId="0" applyBorder="1" applyFont="1"/>
    <xf borderId="57" fillId="0" fontId="9" numFmtId="0" xfId="0" applyBorder="1" applyFont="1"/>
    <xf borderId="58" fillId="0" fontId="9" numFmtId="0" xfId="0" applyBorder="1" applyFont="1"/>
    <xf borderId="9" fillId="13" fontId="4" numFmtId="0" xfId="0" applyAlignment="1" applyBorder="1" applyFill="1" applyFont="1">
      <alignment horizontal="center" shrinkToFit="0" vertical="center" wrapText="1"/>
    </xf>
    <xf borderId="59" fillId="0" fontId="3" numFmtId="0" xfId="0" applyBorder="1" applyFont="1"/>
    <xf borderId="60" fillId="6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Comparativa: España vs GTC LATAM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España (€)</c:v>
          </c:tx>
          <c:spPr>
            <a:solidFill>
              <a:srgbClr val="071E3D"/>
            </a:solidFill>
            <a:ln cmpd="sng">
              <a:solidFill>
                <a:srgbClr val="000000"/>
              </a:solidFill>
            </a:ln>
          </c:spPr>
          <c:cat>
            <c:strRef>
              <c:f>'🧮 Calculadora'!$J$7:$J$9</c:f>
            </c:strRef>
          </c:cat>
          <c:val>
            <c:numRef>
              <c:f>'🧮 Calculadora'!$K$7:$K$9</c:f>
              <c:numCache/>
            </c:numRef>
          </c:val>
        </c:ser>
        <c:ser>
          <c:idx val="1"/>
          <c:order val="1"/>
          <c:tx>
            <c:v>GTC LATAM (€)</c:v>
          </c:tx>
          <c:spPr>
            <a:solidFill>
              <a:srgbClr val="29ABE2"/>
            </a:solidFill>
            <a:ln cmpd="sng">
              <a:solidFill>
                <a:srgbClr val="000000"/>
              </a:solidFill>
            </a:ln>
          </c:spPr>
          <c:cat>
            <c:strRef>
              <c:f>'🧮 Calculadora'!$J$7:$J$9</c:f>
            </c:strRef>
          </c:cat>
          <c:val>
            <c:numRef>
              <c:f>'🧮 Calculadora'!$L$7:$L$9</c:f>
              <c:numCache/>
            </c:numRef>
          </c:val>
        </c:ser>
        <c:axId val="155338086"/>
        <c:axId val="381402638"/>
      </c:barChart>
      <c:catAx>
        <c:axId val="155338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81402638"/>
      </c:catAx>
      <c:valAx>
        <c:axId val="381402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Coste Anual (€)</a:t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3380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10</xdr:row>
      <xdr:rowOff>0</xdr:rowOff>
    </xdr:from>
    <xdr:ext cx="6276975" cy="4743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lobaltalent-connections.com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5.29"/>
    <col customWidth="1" min="3" max="3" width="2.0"/>
    <col customWidth="1" min="4" max="26" width="8.57"/>
  </cols>
  <sheetData>
    <row r="1" ht="14.25" customHeight="1"/>
    <row r="2" ht="49.5" customHeight="1">
      <c r="B2" s="1" t="s">
        <v>0</v>
      </c>
    </row>
    <row r="3" ht="21.75" customHeight="1">
      <c r="B3" s="2" t="s">
        <v>1</v>
      </c>
    </row>
    <row r="4" ht="14.25" customHeight="1"/>
    <row r="5" ht="7.5" customHeight="1">
      <c r="B5" s="3"/>
    </row>
    <row r="6" ht="21.75" customHeight="1">
      <c r="B6" s="4" t="s">
        <v>2</v>
      </c>
    </row>
    <row r="7" ht="7.5" customHeight="1">
      <c r="B7" s="3"/>
    </row>
    <row r="8" ht="24.0" customHeight="1">
      <c r="B8" s="5" t="s">
        <v>3</v>
      </c>
    </row>
    <row r="9" ht="24.0" customHeight="1">
      <c r="B9" s="6" t="s">
        <v>4</v>
      </c>
    </row>
    <row r="10" ht="7.5" customHeight="1">
      <c r="B10" s="3"/>
    </row>
    <row r="11" ht="24.0" customHeight="1">
      <c r="B11" s="5" t="s">
        <v>5</v>
      </c>
    </row>
    <row r="12" ht="24.0" customHeight="1">
      <c r="B12" s="7" t="s">
        <v>6</v>
      </c>
    </row>
    <row r="13" ht="7.5" customHeight="1">
      <c r="B13" s="3"/>
    </row>
    <row r="14" ht="24.0" customHeight="1">
      <c r="B14" s="5" t="s">
        <v>7</v>
      </c>
    </row>
    <row r="15" ht="24.0" customHeight="1">
      <c r="B15" s="7" t="s">
        <v>8</v>
      </c>
    </row>
    <row r="16" ht="7.5" customHeight="1">
      <c r="B16" s="3"/>
    </row>
    <row r="17" ht="24.0" customHeight="1">
      <c r="B17" s="5" t="s">
        <v>9</v>
      </c>
    </row>
    <row r="18" ht="24.0" customHeight="1">
      <c r="B18" s="7" t="s">
        <v>10</v>
      </c>
    </row>
    <row r="19" ht="7.5" customHeight="1">
      <c r="B19" s="3"/>
    </row>
    <row r="20" ht="24.0" customHeight="1">
      <c r="B20" s="5" t="s">
        <v>11</v>
      </c>
    </row>
    <row r="21" ht="24.0" customHeight="1">
      <c r="B21" s="6" t="s">
        <v>12</v>
      </c>
    </row>
    <row r="22" ht="7.5" customHeight="1">
      <c r="B22" s="3"/>
    </row>
    <row r="23" ht="7.5" customHeight="1">
      <c r="B23" s="3"/>
    </row>
    <row r="24" ht="21.75" customHeight="1">
      <c r="B24" s="4" t="s">
        <v>13</v>
      </c>
    </row>
    <row r="25" ht="7.5" customHeight="1">
      <c r="B25" s="3"/>
    </row>
    <row r="26" ht="24.0" customHeight="1">
      <c r="B26" s="8" t="s">
        <v>14</v>
      </c>
    </row>
    <row r="27" ht="24.0" customHeight="1">
      <c r="B27" s="8" t="s">
        <v>15</v>
      </c>
    </row>
    <row r="28" ht="24.0" customHeight="1">
      <c r="B28" s="8" t="s">
        <v>16</v>
      </c>
    </row>
    <row r="29" ht="24.0" customHeight="1">
      <c r="B29" s="8" t="s">
        <v>17</v>
      </c>
    </row>
    <row r="30" ht="7.5" customHeight="1">
      <c r="B30" s="3"/>
    </row>
    <row r="31" ht="7.5" customHeight="1">
      <c r="B31" s="3"/>
    </row>
    <row r="32" ht="21.75" customHeight="1">
      <c r="B32" s="4" t="s">
        <v>18</v>
      </c>
    </row>
    <row r="33" ht="7.5" customHeight="1">
      <c r="B33" s="3"/>
    </row>
    <row r="34" ht="25.5" customHeight="1">
      <c r="B34" s="9" t="s">
        <v>19</v>
      </c>
    </row>
    <row r="35" ht="25.5" customHeight="1">
      <c r="B35" s="9" t="s">
        <v>20</v>
      </c>
    </row>
    <row r="36" ht="25.5" customHeight="1">
      <c r="B36" s="9" t="s">
        <v>21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1E3D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57"/>
    <col customWidth="1" min="3" max="4" width="22.0"/>
    <col customWidth="1" min="5" max="5" width="4.0"/>
    <col customWidth="1" min="6" max="6" width="22.0"/>
    <col customWidth="1" min="7" max="7" width="26.71"/>
    <col customWidth="1" min="8" max="8" width="3.71"/>
    <col customWidth="1" min="9" max="9" width="3.0"/>
    <col customWidth="1" min="10" max="10" width="26.86"/>
    <col customWidth="1" min="11" max="11" width="20.43"/>
    <col customWidth="1" min="12" max="12" width="19.71"/>
    <col customWidth="1" min="13" max="13" width="27.29"/>
    <col customWidth="1" min="14" max="25" width="8.57"/>
  </cols>
  <sheetData>
    <row r="1" ht="7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54.75" customHeight="1">
      <c r="A2" s="11"/>
      <c r="B2" s="12" t="s">
        <v>22</v>
      </c>
      <c r="C2" s="13"/>
      <c r="D2" s="13"/>
      <c r="E2" s="13"/>
      <c r="F2" s="13"/>
      <c r="G2" s="14"/>
      <c r="H2" s="15"/>
      <c r="I2" s="10"/>
      <c r="J2" s="16" t="s">
        <v>23</v>
      </c>
      <c r="K2" s="13"/>
      <c r="L2" s="13"/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24.0" customHeight="1">
      <c r="A3" s="17"/>
      <c r="B3" s="18" t="s">
        <v>24</v>
      </c>
      <c r="C3" s="19"/>
      <c r="D3" s="19"/>
      <c r="E3" s="19"/>
      <c r="F3" s="19"/>
      <c r="G3" s="20"/>
      <c r="H3" s="15"/>
      <c r="I3" s="10"/>
      <c r="J3" s="21" t="s">
        <v>25</v>
      </c>
      <c r="K3" s="19"/>
      <c r="L3" s="19"/>
      <c r="M3" s="2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8.0" customHeight="1">
      <c r="A4" s="17"/>
      <c r="B4" s="22" t="s">
        <v>26</v>
      </c>
      <c r="C4" s="19"/>
      <c r="D4" s="19"/>
      <c r="E4" s="19"/>
      <c r="F4" s="19"/>
      <c r="G4" s="20"/>
      <c r="H4" s="15"/>
      <c r="I4" s="10"/>
      <c r="J4" s="23"/>
      <c r="K4" s="10"/>
      <c r="L4" s="10"/>
      <c r="M4" s="24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9.75" customHeight="1">
      <c r="A5" s="23"/>
      <c r="B5" s="10"/>
      <c r="C5" s="10"/>
      <c r="D5" s="10"/>
      <c r="E5" s="10"/>
      <c r="F5" s="10"/>
      <c r="G5" s="24"/>
      <c r="H5" s="10"/>
      <c r="I5" s="10"/>
      <c r="J5" s="25"/>
      <c r="M5" s="26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25.5" customHeight="1">
      <c r="A6" s="23"/>
      <c r="B6" s="27" t="s">
        <v>27</v>
      </c>
      <c r="C6" s="19"/>
      <c r="D6" s="19"/>
      <c r="E6" s="19"/>
      <c r="F6" s="19"/>
      <c r="G6" s="20"/>
      <c r="H6" s="10"/>
      <c r="I6" s="10"/>
      <c r="J6" s="28" t="s">
        <v>28</v>
      </c>
      <c r="K6" s="29" t="s">
        <v>29</v>
      </c>
      <c r="L6" s="29" t="s">
        <v>30</v>
      </c>
      <c r="M6" s="30" t="s">
        <v>31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.0" customHeight="1">
      <c r="A7" s="23"/>
      <c r="B7" s="31" t="s">
        <v>32</v>
      </c>
      <c r="C7" s="32" t="s">
        <v>33</v>
      </c>
      <c r="D7" s="10"/>
      <c r="E7" s="10"/>
      <c r="F7" s="10"/>
      <c r="G7" s="24"/>
      <c r="H7" s="10"/>
      <c r="I7" s="10"/>
      <c r="J7" s="33" t="s">
        <v>34</v>
      </c>
      <c r="K7" s="34">
        <f>'🧮 Calculadora'!C25</f>
        <v>28160</v>
      </c>
      <c r="L7" s="35">
        <f>'🧮 Calculadora'!F25</f>
        <v>20300</v>
      </c>
      <c r="M7" s="36">
        <f t="shared" ref="M7:M8" si="1">K7-L7</f>
        <v>7860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.0" customHeight="1">
      <c r="A8" s="23"/>
      <c r="B8" s="31" t="s">
        <v>35</v>
      </c>
      <c r="C8" s="37" t="s">
        <v>36</v>
      </c>
      <c r="D8" s="10"/>
      <c r="E8" s="10"/>
      <c r="F8" s="10"/>
      <c r="G8" s="38" t="s">
        <v>37</v>
      </c>
      <c r="H8" s="10"/>
      <c r="I8" s="10"/>
      <c r="J8" s="33" t="s">
        <v>38</v>
      </c>
      <c r="K8" s="34">
        <f>'🧮 Calculadora'!D25</f>
        <v>56320</v>
      </c>
      <c r="L8" s="35">
        <f>'🧮 Calculadora'!G25</f>
        <v>40600</v>
      </c>
      <c r="M8" s="36">
        <f t="shared" si="1"/>
        <v>15720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24.0" customHeight="1">
      <c r="A9" s="23"/>
      <c r="B9" s="31" t="s">
        <v>39</v>
      </c>
      <c r="C9" s="32">
        <v>1000.0</v>
      </c>
      <c r="D9" s="10"/>
      <c r="E9" s="10"/>
      <c r="F9" s="10"/>
      <c r="G9" s="39"/>
      <c r="H9" s="10"/>
      <c r="I9" s="10"/>
      <c r="J9" s="33" t="s">
        <v>40</v>
      </c>
      <c r="K9" s="40">
        <f>'🧮 Calculadora'!D25-'🧮 Calculadora'!G25</f>
        <v>15720</v>
      </c>
      <c r="L9" s="41"/>
      <c r="M9" s="4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24.0" customHeight="1">
      <c r="A10" s="23"/>
      <c r="B10" s="31" t="s">
        <v>41</v>
      </c>
      <c r="C10" s="32">
        <v>2.0</v>
      </c>
      <c r="D10" s="43" t="s">
        <v>42</v>
      </c>
      <c r="E10" s="10"/>
      <c r="F10" s="10"/>
      <c r="G10" s="24"/>
      <c r="H10" s="10"/>
      <c r="I10" s="10"/>
      <c r="J10" s="23"/>
      <c r="K10" s="10"/>
      <c r="L10" s="10"/>
      <c r="M10" s="24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5.5" customHeight="1">
      <c r="A11" s="23"/>
      <c r="B11" s="44" t="s">
        <v>43</v>
      </c>
      <c r="C11" s="32" t="s">
        <v>44</v>
      </c>
      <c r="D11" s="10"/>
      <c r="E11" s="10"/>
      <c r="F11" s="10"/>
      <c r="G11" s="24"/>
      <c r="H11" s="10"/>
      <c r="I11" s="10"/>
      <c r="J11" s="23"/>
      <c r="K11" s="10"/>
      <c r="L11" s="10"/>
      <c r="M11" s="24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5.5" customHeight="1">
      <c r="A12" s="23"/>
      <c r="B12" s="10"/>
      <c r="C12" s="10"/>
      <c r="D12" s="10"/>
      <c r="E12" s="10"/>
      <c r="F12" s="10"/>
      <c r="G12" s="24"/>
      <c r="H12" s="10"/>
      <c r="I12" s="10"/>
      <c r="J12" s="23"/>
      <c r="K12" s="10"/>
      <c r="L12" s="10"/>
      <c r="M12" s="24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4.25" customHeight="1">
      <c r="A13" s="23"/>
      <c r="B13" s="45" t="s">
        <v>45</v>
      </c>
      <c r="C13" s="46"/>
      <c r="D13" s="47"/>
      <c r="E13" s="10"/>
      <c r="F13" s="48" t="s">
        <v>46</v>
      </c>
      <c r="G13" s="49"/>
      <c r="H13" s="10"/>
      <c r="I13" s="10"/>
      <c r="J13" s="23"/>
      <c r="K13" s="10"/>
      <c r="L13" s="10"/>
      <c r="M13" s="24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4.25" customHeight="1">
      <c r="A14" s="23"/>
      <c r="B14" s="50" t="s">
        <v>28</v>
      </c>
      <c r="C14" s="50" t="s">
        <v>47</v>
      </c>
      <c r="D14" s="50" t="s">
        <v>48</v>
      </c>
      <c r="E14" s="51"/>
      <c r="F14" s="52" t="s">
        <v>47</v>
      </c>
      <c r="G14" s="53" t="s">
        <v>48</v>
      </c>
      <c r="H14" s="10"/>
      <c r="I14" s="10"/>
      <c r="J14" s="23"/>
      <c r="K14" s="10"/>
      <c r="L14" s="10"/>
      <c r="M14" s="2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22.5" customHeight="1">
      <c r="A15" s="23"/>
      <c r="B15" s="31" t="s">
        <v>49</v>
      </c>
      <c r="C15" s="54">
        <f>C9*12</f>
        <v>12000</v>
      </c>
      <c r="D15" s="55">
        <f>C15*C10</f>
        <v>24000</v>
      </c>
      <c r="E15" s="51"/>
      <c r="F15" s="56">
        <f>IF(C11="Junior",1300*12,IF(C11="Mid",1400*12,IF(C11="Senior",1650*12,0)))</f>
        <v>19800</v>
      </c>
      <c r="G15" s="57">
        <f>F15*C10</f>
        <v>39600</v>
      </c>
      <c r="H15" s="10"/>
      <c r="I15" s="10"/>
      <c r="J15" s="23"/>
      <c r="K15" s="10"/>
      <c r="L15" s="10"/>
      <c r="M15" s="24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2.5" customHeight="1">
      <c r="A16" s="23"/>
      <c r="B16" s="58" t="s">
        <v>50</v>
      </c>
      <c r="C16" s="59">
        <f>C15*33%</f>
        <v>3960</v>
      </c>
      <c r="D16" s="59">
        <f>C16*C10</f>
        <v>7920</v>
      </c>
      <c r="E16" s="51"/>
      <c r="F16" s="59">
        <v>0.0</v>
      </c>
      <c r="G16" s="60">
        <f>F16*C10</f>
        <v>0</v>
      </c>
      <c r="H16" s="10"/>
      <c r="I16" s="10"/>
      <c r="J16" s="23"/>
      <c r="K16" s="10"/>
      <c r="L16" s="10"/>
      <c r="M16" s="2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2.5" customHeight="1">
      <c r="A17" s="23"/>
      <c r="B17" s="58" t="s">
        <v>51</v>
      </c>
      <c r="C17" s="54">
        <v>2000.0</v>
      </c>
      <c r="D17" s="59">
        <f>C17*C10</f>
        <v>4000</v>
      </c>
      <c r="E17" s="51"/>
      <c r="F17" s="56">
        <v>0.0</v>
      </c>
      <c r="G17" s="60">
        <f>F17*C10</f>
        <v>0</v>
      </c>
      <c r="H17" s="10"/>
      <c r="I17" s="10"/>
      <c r="J17" s="23"/>
      <c r="K17" s="10"/>
      <c r="L17" s="10"/>
      <c r="M17" s="2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2.5" customHeight="1">
      <c r="A18" s="23"/>
      <c r="B18" s="31" t="s">
        <v>52</v>
      </c>
      <c r="C18" s="54">
        <v>1200.0</v>
      </c>
      <c r="D18" s="55">
        <f>C18*C10</f>
        <v>2400</v>
      </c>
      <c r="E18" s="51"/>
      <c r="F18" s="61">
        <v>0.0</v>
      </c>
      <c r="G18" s="57">
        <f>F18*C10</f>
        <v>0</v>
      </c>
      <c r="H18" s="10"/>
      <c r="I18" s="10"/>
      <c r="J18" s="23"/>
      <c r="K18" s="10"/>
      <c r="L18" s="10"/>
      <c r="M18" s="24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22.5" customHeight="1">
      <c r="A19" s="23"/>
      <c r="B19" s="58" t="s">
        <v>53</v>
      </c>
      <c r="C19" s="54">
        <v>3600.0</v>
      </c>
      <c r="D19" s="59">
        <f>C19*C10</f>
        <v>7200</v>
      </c>
      <c r="E19" s="51"/>
      <c r="F19" s="56">
        <v>0.0</v>
      </c>
      <c r="G19" s="60">
        <f>F19*C10</f>
        <v>0</v>
      </c>
      <c r="H19" s="10"/>
      <c r="I19" s="10"/>
      <c r="J19" s="23"/>
      <c r="K19" s="10"/>
      <c r="L19" s="10"/>
      <c r="M19" s="2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22.5" customHeight="1">
      <c r="A20" s="23"/>
      <c r="B20" s="31" t="s">
        <v>54</v>
      </c>
      <c r="C20" s="54">
        <v>800.0</v>
      </c>
      <c r="D20" s="55">
        <f>C20*C10</f>
        <v>1600</v>
      </c>
      <c r="E20" s="51"/>
      <c r="F20" s="56">
        <v>0.0</v>
      </c>
      <c r="G20" s="57">
        <f>F20*C10</f>
        <v>0</v>
      </c>
      <c r="H20" s="10"/>
      <c r="I20" s="10"/>
      <c r="J20" s="23"/>
      <c r="K20" s="10"/>
      <c r="L20" s="10"/>
      <c r="M20" s="2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22.5" customHeight="1">
      <c r="A21" s="23"/>
      <c r="B21" s="31" t="s">
        <v>55</v>
      </c>
      <c r="C21" s="54">
        <v>500.0</v>
      </c>
      <c r="D21" s="55">
        <f>C21*C10</f>
        <v>1000</v>
      </c>
      <c r="E21" s="51"/>
      <c r="F21" s="56">
        <f>C21</f>
        <v>500</v>
      </c>
      <c r="G21" s="57">
        <f>F21*C10</f>
        <v>1000</v>
      </c>
      <c r="H21" s="10"/>
      <c r="I21" s="10"/>
      <c r="J21" s="23"/>
      <c r="K21" s="10"/>
      <c r="L21" s="10"/>
      <c r="M21" s="2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22.5" customHeight="1">
      <c r="A22" s="23"/>
      <c r="B22" s="58" t="s">
        <v>56</v>
      </c>
      <c r="C22" s="54">
        <v>1500.0</v>
      </c>
      <c r="D22" s="59">
        <f>C22*C10</f>
        <v>3000</v>
      </c>
      <c r="E22" s="51"/>
      <c r="F22" s="56">
        <v>0.0</v>
      </c>
      <c r="G22" s="60">
        <f>F22*C10</f>
        <v>0</v>
      </c>
      <c r="H22" s="10"/>
      <c r="I22" s="10"/>
      <c r="J22" s="23"/>
      <c r="K22" s="10"/>
      <c r="L22" s="10"/>
      <c r="M22" s="2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22.5" customHeight="1">
      <c r="A23" s="23"/>
      <c r="B23" s="31" t="s">
        <v>57</v>
      </c>
      <c r="C23" s="54">
        <v>2000.0</v>
      </c>
      <c r="D23" s="55">
        <f>C23*C10</f>
        <v>4000</v>
      </c>
      <c r="E23" s="51"/>
      <c r="F23" s="56">
        <v>0.0</v>
      </c>
      <c r="G23" s="57">
        <f>F23*C10</f>
        <v>0</v>
      </c>
      <c r="H23" s="10"/>
      <c r="I23" s="10"/>
      <c r="J23" s="23"/>
      <c r="K23" s="10"/>
      <c r="L23" s="10"/>
      <c r="M23" s="2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22.5" customHeight="1">
      <c r="A24" s="23"/>
      <c r="B24" s="58" t="s">
        <v>58</v>
      </c>
      <c r="C24" s="54">
        <v>600.0</v>
      </c>
      <c r="D24" s="59">
        <f>C24*C10</f>
        <v>1200</v>
      </c>
      <c r="E24" s="51"/>
      <c r="F24" s="56">
        <v>0.0</v>
      </c>
      <c r="G24" s="60">
        <f>F24*C10</f>
        <v>0</v>
      </c>
      <c r="H24" s="10"/>
      <c r="I24" s="10"/>
      <c r="J24" s="23"/>
      <c r="K24" s="10"/>
      <c r="L24" s="10"/>
      <c r="M24" s="24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0.0" customHeight="1">
      <c r="A25" s="23"/>
      <c r="B25" s="62" t="s">
        <v>59</v>
      </c>
      <c r="C25" s="63">
        <f t="shared" ref="C25:D25" si="2">SUM(C15:C24)</f>
        <v>28160</v>
      </c>
      <c r="D25" s="63">
        <f t="shared" si="2"/>
        <v>56320</v>
      </c>
      <c r="E25" s="51"/>
      <c r="F25" s="64">
        <f t="shared" ref="F25:G25" si="3">SUM(F15:F24)</f>
        <v>20300</v>
      </c>
      <c r="G25" s="65">
        <f t="shared" si="3"/>
        <v>40600</v>
      </c>
      <c r="H25" s="10"/>
      <c r="I25" s="10"/>
      <c r="J25" s="23"/>
      <c r="K25" s="10"/>
      <c r="L25" s="10"/>
      <c r="M25" s="24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9.75" customHeight="1">
      <c r="A26" s="23"/>
      <c r="B26" s="10"/>
      <c r="C26" s="10"/>
      <c r="D26" s="10"/>
      <c r="E26" s="10"/>
      <c r="F26" s="10"/>
      <c r="G26" s="24"/>
      <c r="H26" s="10"/>
      <c r="I26" s="10"/>
      <c r="J26" s="23"/>
      <c r="K26" s="10"/>
      <c r="L26" s="10"/>
      <c r="M26" s="2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7.75" customHeight="1">
      <c r="A27" s="23"/>
      <c r="B27" s="66" t="s">
        <v>60</v>
      </c>
      <c r="C27" s="19"/>
      <c r="D27" s="19"/>
      <c r="E27" s="19"/>
      <c r="F27" s="19"/>
      <c r="G27" s="20"/>
      <c r="H27" s="10"/>
      <c r="I27" s="10"/>
      <c r="J27" s="23"/>
      <c r="K27" s="10"/>
      <c r="L27" s="10"/>
      <c r="M27" s="24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25.5" customHeight="1">
      <c r="A28" s="23"/>
      <c r="B28" s="67" t="s">
        <v>61</v>
      </c>
      <c r="C28" s="68">
        <f>D25</f>
        <v>56320</v>
      </c>
      <c r="D28" s="69"/>
      <c r="E28" s="70"/>
      <c r="F28" s="71" t="s">
        <v>62</v>
      </c>
      <c r="G28" s="49"/>
      <c r="H28" s="10"/>
      <c r="I28" s="10"/>
      <c r="J28" s="23"/>
      <c r="K28" s="10"/>
      <c r="L28" s="10"/>
      <c r="M28" s="24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25.5" customHeight="1">
      <c r="A29" s="23"/>
      <c r="B29" s="72" t="s">
        <v>63</v>
      </c>
      <c r="C29" s="73">
        <f>G25</f>
        <v>40600</v>
      </c>
      <c r="D29" s="42"/>
      <c r="E29" s="70"/>
      <c r="F29" s="74" t="s">
        <v>64</v>
      </c>
      <c r="G29" s="49"/>
      <c r="H29" s="10"/>
      <c r="I29" s="10"/>
      <c r="J29" s="23"/>
      <c r="K29" s="10"/>
      <c r="L29" s="10"/>
      <c r="M29" s="24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25.5" customHeight="1">
      <c r="A30" s="23"/>
      <c r="B30" s="75" t="s">
        <v>65</v>
      </c>
      <c r="C30" s="76">
        <f>D25-G25</f>
        <v>15720</v>
      </c>
      <c r="D30" s="77"/>
      <c r="E30" s="70"/>
      <c r="F30" s="78" t="s">
        <v>66</v>
      </c>
      <c r="G30" s="49"/>
      <c r="H30" s="10"/>
      <c r="I30" s="10"/>
      <c r="J30" s="79" t="s">
        <v>67</v>
      </c>
      <c r="K30" s="19"/>
      <c r="L30" s="19"/>
      <c r="M30" s="2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25.5" customHeight="1">
      <c r="A31" s="23"/>
      <c r="B31" s="80" t="s">
        <v>68</v>
      </c>
      <c r="C31" s="81">
        <f>IF(D25&gt;0,(D25-G25)/D25,0)</f>
        <v>0.2791193182</v>
      </c>
      <c r="D31" s="82"/>
      <c r="E31" s="70"/>
      <c r="F31" s="83" t="s">
        <v>69</v>
      </c>
      <c r="G31" s="49"/>
      <c r="H31" s="10"/>
      <c r="I31" s="10"/>
      <c r="J31" s="84" t="s">
        <v>70</v>
      </c>
      <c r="K31" s="85" t="s">
        <v>71</v>
      </c>
      <c r="L31" s="86"/>
      <c r="M31" s="87" t="s">
        <v>72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25.5" customHeight="1">
      <c r="A32" s="23"/>
      <c r="B32" s="72" t="s">
        <v>73</v>
      </c>
      <c r="C32" s="73">
        <f>(D25-G25)/12</f>
        <v>1310</v>
      </c>
      <c r="D32" s="42"/>
      <c r="E32" s="70"/>
      <c r="F32" s="74" t="s">
        <v>74</v>
      </c>
      <c r="G32" s="49"/>
      <c r="H32" s="10"/>
      <c r="I32" s="10"/>
      <c r="J32" s="88">
        <f>('🧮 Calculadora'!D25-'🧮 Calculadora'!G25)/12</f>
        <v>1310</v>
      </c>
      <c r="K32" s="89">
        <f>IF('🧮 Calculadora'!D25&gt;0,('🧮 Calculadora'!D25-'🧮 Calculadora'!G25)/'🧮 Calculadora'!D25,0)</f>
        <v>0.2791193182</v>
      </c>
      <c r="L32" s="90"/>
      <c r="M32" s="91">
        <f>'🧮 Calculadora'!D25-'🧮 Calculadora'!G25</f>
        <v>15720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5.5" customHeight="1">
      <c r="A33" s="23"/>
      <c r="B33" s="92" t="s">
        <v>75</v>
      </c>
      <c r="C33" s="93" t="str">
        <f>IF((D25-G25)&gt;0,"Inmediato — ahorro desde el día 1","Revisar datos")</f>
        <v>Inmediato — ahorro desde el día 1</v>
      </c>
      <c r="D33" s="94"/>
      <c r="E33" s="70"/>
      <c r="F33" s="83" t="s">
        <v>76</v>
      </c>
      <c r="G33" s="49"/>
      <c r="H33" s="10"/>
      <c r="I33" s="10"/>
      <c r="J33" s="95" t="s">
        <v>77</v>
      </c>
      <c r="K33" s="96"/>
      <c r="L33" s="96"/>
      <c r="M33" s="9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9.75" customHeight="1">
      <c r="A34" s="23"/>
      <c r="B34" s="10"/>
      <c r="C34" s="10"/>
      <c r="D34" s="10"/>
      <c r="E34" s="10"/>
      <c r="F34" s="10"/>
      <c r="G34" s="24"/>
      <c r="H34" s="10"/>
      <c r="I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21.75" customHeight="1">
      <c r="A35" s="23"/>
      <c r="B35" s="98" t="s">
        <v>78</v>
      </c>
      <c r="C35" s="19"/>
      <c r="D35" s="19"/>
      <c r="E35" s="19"/>
      <c r="F35" s="19"/>
      <c r="G35" s="20"/>
      <c r="H35" s="10"/>
      <c r="I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54.75" customHeight="1">
      <c r="A36" s="23"/>
      <c r="B36" s="99" t="str">
        <f>"Con un equipo de "&amp;C10&amp;" personas, tu empresa gasta "&amp;TEXT(D25,"#,##0")&amp;"€/año en España. Con GTC, ese coste bajaría a "&amp;TEXT(G25,"#,##0")&amp;"€ — un ahorro de "&amp;TEXT(D25-G25,"#,##0")&amp;"€ anuales ("&amp;TEXT(IF(D25&gt;0,(D25-G25)/D25,0),"0.0%")&amp;") sin renunciar a la calidad del talento."</f>
        <v>Con un equipo de 2 personas, tu empresa gasta 56,320€/año en España. Con GTC, ese coste bajaría a 40,600€ — un ahorro de 15,720€ anuales (27.9%) sin renunciar a la calidad del talento.</v>
      </c>
      <c r="C36" s="100"/>
      <c r="D36" s="100"/>
      <c r="E36" s="100"/>
      <c r="F36" s="100"/>
      <c r="G36" s="10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21.75" customHeight="1">
      <c r="A37" s="23"/>
      <c r="B37" s="102"/>
      <c r="G37" s="10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21.75" customHeight="1">
      <c r="A38" s="23"/>
      <c r="B38" s="104"/>
      <c r="C38" s="105"/>
      <c r="D38" s="105"/>
      <c r="E38" s="105"/>
      <c r="F38" s="105"/>
      <c r="G38" s="10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21.75" customHeight="1">
      <c r="A39" s="23"/>
      <c r="B39" s="107" t="s">
        <v>79</v>
      </c>
      <c r="C39" s="19"/>
      <c r="D39" s="19"/>
      <c r="E39" s="19"/>
      <c r="F39" s="19"/>
      <c r="G39" s="2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21.75" customHeight="1">
      <c r="A40" s="108"/>
      <c r="B40" s="109" t="s">
        <v>80</v>
      </c>
      <c r="C40" s="96"/>
      <c r="D40" s="96"/>
      <c r="E40" s="96"/>
      <c r="F40" s="96"/>
      <c r="G40" s="97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9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9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9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9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9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9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9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9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9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9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9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9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9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9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9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9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9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9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9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9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9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9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9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9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9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9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9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9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9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9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9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9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9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9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9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9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9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9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9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9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9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9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9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9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9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9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9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9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9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9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9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9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9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9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9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9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9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9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9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9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9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9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9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9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9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9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9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9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9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9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9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9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9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9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9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9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9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</sheetData>
  <mergeCells count="31">
    <mergeCell ref="B2:G2"/>
    <mergeCell ref="J2:M2"/>
    <mergeCell ref="B3:G3"/>
    <mergeCell ref="J3:M3"/>
    <mergeCell ref="B4:G4"/>
    <mergeCell ref="B6:G6"/>
    <mergeCell ref="G8:G9"/>
    <mergeCell ref="K9:M9"/>
    <mergeCell ref="F29:G29"/>
    <mergeCell ref="F30:G30"/>
    <mergeCell ref="J30:M30"/>
    <mergeCell ref="B13:D13"/>
    <mergeCell ref="F13:G13"/>
    <mergeCell ref="B27:G27"/>
    <mergeCell ref="C28:D28"/>
    <mergeCell ref="F28:G28"/>
    <mergeCell ref="C29:D29"/>
    <mergeCell ref="C30:D30"/>
    <mergeCell ref="F33:G33"/>
    <mergeCell ref="J33:M33"/>
    <mergeCell ref="B35:G35"/>
    <mergeCell ref="B36:G38"/>
    <mergeCell ref="B39:G39"/>
    <mergeCell ref="B40:G40"/>
    <mergeCell ref="C31:D31"/>
    <mergeCell ref="F31:G31"/>
    <mergeCell ref="K31:L31"/>
    <mergeCell ref="C32:D32"/>
    <mergeCell ref="F32:G32"/>
    <mergeCell ref="K32:L32"/>
    <mergeCell ref="C33:D33"/>
  </mergeCells>
  <dataValidations>
    <dataValidation type="list" allowBlank="1" showErrorMessage="1" sqref="C11">
      <formula1>"Junior,Mid,Senior"</formula1>
    </dataValidation>
  </dataValidations>
  <hyperlinks>
    <hyperlink r:id="rId2" location="contacto" ref="G8"/>
  </hyperlinks>
  <printOptions/>
  <pageMargins bottom="1.0" footer="0.0" header="0.0" left="0.75" right="0.75" top="1.0"/>
  <pageSetup paperSize="9" orientation="portrait"/>
  <drawing r:id="rId3"/>
  <legacyDrawing r:id="rId4"/>
</worksheet>
</file>